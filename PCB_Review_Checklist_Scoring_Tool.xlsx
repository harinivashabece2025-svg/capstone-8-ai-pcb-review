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Checklist" sheetId="1" state="visible" r:id="rId1"/>
    <sheet xmlns:r="http://schemas.openxmlformats.org/officeDocument/2006/relationships" name="Review Findings" sheetId="2" state="visible" r:id="rId2"/>
  </sheets>
  <definedNames>
    <definedName name="_xlnm._FilterDatabase" localSheetId="0" hidden="1">'Review Checklist'!$A$5:$F$22</definedName>
    <definedName name="_xlnm._FilterDatabase" localSheetId="1" hidden="1">'Review Findings'!$A$1:$G$8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5597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9" fontId="0" fillId="0" borderId="0" pivotButton="0" quotePrefix="0" xfId="0"/>
    <xf numFmtId="0" fontId="2" fillId="3" borderId="0" pivotButton="0" quotePrefix="0" xfId="0"/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68" customWidth="1" min="2" max="2"/>
    <col width="15" customWidth="1" min="3" max="3"/>
    <col width="14" customWidth="1" min="4" max="4"/>
    <col width="48" customWidth="1" min="5" max="5"/>
    <col width="20" customWidth="1" min="6" max="6"/>
  </cols>
  <sheetData>
    <row r="1" ht="28" customHeight="1">
      <c r="A1" s="1" t="inlineStr">
        <is>
          <t>CAPSTONE 8 — AI PCB REVIEW CHECKLIST</t>
        </is>
      </c>
    </row>
    <row r="2">
      <c r="A2" t="inlineStr">
        <is>
          <t>Design name</t>
        </is>
      </c>
      <c r="B2" t="inlineStr">
        <is>
          <t>Revision</t>
        </is>
      </c>
      <c r="C2" t="inlineStr">
        <is>
          <t>Reviewer</t>
        </is>
      </c>
      <c r="D2" t="inlineStr">
        <is>
          <t>Date</t>
        </is>
      </c>
      <c r="E2" t="inlineStr">
        <is>
          <t>Tool/model</t>
        </is>
      </c>
      <c r="F2" t="inlineStr">
        <is>
          <t>Notes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Score (process completeness)</t>
        </is>
      </c>
      <c r="B4" s="2">
        <f>IFERROR(COUNTIF(C7:C22,"Pass")/(COUNTIF(C7:C22,"Pass")+COUNTIF(C7:C22,"Fail")+COUNTIF(C7:C22,"Unknown")),"")</f>
        <v/>
      </c>
      <c r="C4" t="inlineStr">
        <is>
          <t>Pass count</t>
        </is>
      </c>
      <c r="D4">
        <f>COUNTIF(C7:C22,"Pass")</f>
        <v/>
      </c>
      <c r="E4" t="inlineStr">
        <is>
          <t>Applicable checked</t>
        </is>
      </c>
      <c r="F4">
        <f>COUNTIF(C7:C22,"Pass")+COUNTIF(C7:C22,"Fail")+COUNTIF(C7:C22,"Unknown")</f>
        <v/>
      </c>
    </row>
    <row r="5">
      <c r="A5" s="3" t="inlineStr">
        <is>
          <t>ID</t>
        </is>
      </c>
      <c r="B5" s="3" t="inlineStr">
        <is>
          <t>Category / check item</t>
        </is>
      </c>
      <c r="C5" s="3" t="inlineStr">
        <is>
          <t>Status</t>
        </is>
      </c>
      <c r="D5" s="3" t="inlineStr">
        <is>
          <t>Severity</t>
        </is>
      </c>
      <c r="E5" s="3" t="inlineStr">
        <is>
          <t>Evidence / source / notes</t>
        </is>
      </c>
      <c r="F5" s="3" t="inlineStr">
        <is>
          <t>Verified by</t>
        </is>
      </c>
    </row>
    <row r="6" ht="43" customHeight="1">
      <c r="A6" s="4" t="inlineStr">
        <is>
          <t>C01</t>
        </is>
      </c>
      <c r="B6" s="4" t="inlineStr">
        <is>
          <t>A. Design inputs — Input voltage range, output voltage/current and operating environment are documented.</t>
        </is>
      </c>
      <c r="C6" s="4" t="inlineStr">
        <is>
          <t>Unknown</t>
        </is>
      </c>
      <c r="D6" s="4" t="inlineStr">
        <is>
          <t>Medium</t>
        </is>
      </c>
      <c r="E6" s="4" t="inlineStr"/>
      <c r="F6" s="4" t="inlineStr"/>
    </row>
    <row r="7" ht="43" customHeight="1">
      <c r="A7" s="5" t="inlineStr">
        <is>
          <t>C02</t>
        </is>
      </c>
      <c r="B7" s="5" t="inlineStr">
        <is>
          <t>A. Design inputs — Exact component manufacturer/part numbers and datasheets are identified.</t>
        </is>
      </c>
      <c r="C7" s="5" t="inlineStr">
        <is>
          <t>Unknown</t>
        </is>
      </c>
      <c r="D7" s="5" t="inlineStr">
        <is>
          <t>Medium</t>
        </is>
      </c>
      <c r="E7" s="5" t="inlineStr"/>
      <c r="F7" s="5" t="inlineStr"/>
    </row>
    <row r="8" ht="43" customHeight="1">
      <c r="A8" s="4" t="inlineStr">
        <is>
          <t>C03</t>
        </is>
      </c>
      <c r="B8" s="4" t="inlineStr">
        <is>
          <t>B. Schematic — ERC is run; power pins, net labels, connector pins and component values are checked.</t>
        </is>
      </c>
      <c r="C8" s="4" t="inlineStr">
        <is>
          <t>Unknown</t>
        </is>
      </c>
      <c r="D8" s="4" t="inlineStr">
        <is>
          <t>Medium</t>
        </is>
      </c>
      <c r="E8" s="4" t="inlineStr"/>
      <c r="F8" s="4" t="inlineStr"/>
    </row>
    <row r="9" ht="43" customHeight="1">
      <c r="A9" s="5" t="inlineStr">
        <is>
          <t>C04</t>
        </is>
      </c>
      <c r="B9" s="5" t="inlineStr">
        <is>
          <t>B. Schematic — Footprints match the selected packages; pin numbering and polarity are verified.</t>
        </is>
      </c>
      <c r="C9" s="5" t="inlineStr">
        <is>
          <t>Unknown</t>
        </is>
      </c>
      <c r="D9" s="5" t="inlineStr">
        <is>
          <t>Medium</t>
        </is>
      </c>
      <c r="E9" s="5" t="inlineStr"/>
      <c r="F9" s="5" t="inlineStr"/>
    </row>
    <row r="10" ht="43" customHeight="1">
      <c r="A10" s="4" t="inlineStr">
        <is>
          <t>C05</t>
        </is>
      </c>
      <c r="B10" s="4" t="inlineStr">
        <is>
          <t>C. Decoupling — Required bypass capacitors are present and close to relevant supply pins.</t>
        </is>
      </c>
      <c r="C10" s="4" t="inlineStr">
        <is>
          <t>Unknown</t>
        </is>
      </c>
      <c r="D10" s="4" t="inlineStr">
        <is>
          <t>Medium</t>
        </is>
      </c>
      <c r="E10" s="4" t="inlineStr"/>
      <c r="F10" s="4" t="inlineStr"/>
    </row>
    <row r="11" ht="43" customHeight="1">
      <c r="A11" s="5" t="inlineStr">
        <is>
          <t>C06</t>
        </is>
      </c>
      <c r="B11" s="5" t="inlineStr">
        <is>
          <t>C. Decoupling — Capacitor ground return is short/direct; capacitor voltage rating and polarity are suitable.</t>
        </is>
      </c>
      <c r="C11" s="5" t="inlineStr">
        <is>
          <t>Unknown</t>
        </is>
      </c>
      <c r="D11" s="5" t="inlineStr">
        <is>
          <t>Medium</t>
        </is>
      </c>
      <c r="E11" s="5" t="inlineStr"/>
      <c r="F11" s="5" t="inlineStr"/>
    </row>
    <row r="12" ht="43" customHeight="1">
      <c r="A12" s="4" t="inlineStr">
        <is>
          <t>C07</t>
        </is>
      </c>
      <c r="B12" s="4" t="inlineStr">
        <is>
          <t>D. Routing — Track widths are justified by current, copper and temperature-rise assumptions.</t>
        </is>
      </c>
      <c r="C12" s="4" t="inlineStr">
        <is>
          <t>Unknown</t>
        </is>
      </c>
      <c r="D12" s="4" t="inlineStr">
        <is>
          <t>Medium</t>
        </is>
      </c>
      <c r="E12" s="4" t="inlineStr"/>
      <c r="F12" s="4" t="inlineStr"/>
    </row>
    <row r="13" ht="43" customHeight="1">
      <c r="A13" s="5" t="inlineStr">
        <is>
          <t>C08</t>
        </is>
      </c>
      <c r="B13" s="5" t="inlineStr">
        <is>
          <t>D. Routing — Clearances, via sizes, drill sizes and copper-to-edge constraints match manufacturer capabilities.</t>
        </is>
      </c>
      <c r="C13" s="5" t="inlineStr">
        <is>
          <t>Unknown</t>
        </is>
      </c>
      <c r="D13" s="5" t="inlineStr">
        <is>
          <t>Medium</t>
        </is>
      </c>
      <c r="E13" s="5" t="inlineStr"/>
      <c r="F13" s="5" t="inlineStr"/>
    </row>
    <row r="14" ht="43" customHeight="1">
      <c r="A14" s="4" t="inlineStr">
        <is>
          <t>C09</t>
        </is>
      </c>
      <c r="B14" s="4" t="inlineStr">
        <is>
          <t>D. Routing — High-current and sensitive/timing paths are routed with their circuit needs in mind.</t>
        </is>
      </c>
      <c r="C14" s="4" t="inlineStr">
        <is>
          <t>Unknown</t>
        </is>
      </c>
      <c r="D14" s="4" t="inlineStr">
        <is>
          <t>Medium</t>
        </is>
      </c>
      <c r="E14" s="4" t="inlineStr"/>
      <c r="F14" s="4" t="inlineStr"/>
    </row>
    <row r="15" ht="43" customHeight="1">
      <c r="A15" s="5" t="inlineStr">
        <is>
          <t>C10</t>
        </is>
      </c>
      <c r="B15" s="5" t="inlineStr">
        <is>
          <t>E. Ground — Return paths are continuous and do not cross avoidable splits/slots or narrow bottlenecks.</t>
        </is>
      </c>
      <c r="C15" s="5" t="inlineStr">
        <is>
          <t>Unknown</t>
        </is>
      </c>
      <c r="D15" s="5" t="inlineStr">
        <is>
          <t>Medium</t>
        </is>
      </c>
      <c r="E15" s="5" t="inlineStr"/>
      <c r="F15" s="5" t="inlineStr"/>
    </row>
    <row r="16" ht="43" customHeight="1">
      <c r="A16" s="4" t="inlineStr">
        <is>
          <t>C11</t>
        </is>
      </c>
      <c r="B16" s="4" t="inlineStr">
        <is>
          <t>F. Thermal/power — Regulator and resistor dissipation are calculated and checked against datasheet limits.</t>
        </is>
      </c>
      <c r="C16" s="4" t="inlineStr">
        <is>
          <t>Unknown</t>
        </is>
      </c>
      <c r="D16" s="4" t="inlineStr">
        <is>
          <t>Medium</t>
        </is>
      </c>
      <c r="E16" s="4" t="inlineStr"/>
      <c r="F16" s="4" t="inlineStr"/>
    </row>
    <row r="17" ht="43" customHeight="1">
      <c r="A17" s="5" t="inlineStr">
        <is>
          <t>C12</t>
        </is>
      </c>
      <c r="B17" s="5" t="inlineStr">
        <is>
          <t>G. Mechanical — Connector orientation, board outline, mounting holes and component clearance are checked.</t>
        </is>
      </c>
      <c r="C17" s="5" t="inlineStr">
        <is>
          <t>Unknown</t>
        </is>
      </c>
      <c r="D17" s="5" t="inlineStr">
        <is>
          <t>Medium</t>
        </is>
      </c>
      <c r="E17" s="5" t="inlineStr"/>
      <c r="F17" s="5" t="inlineStr"/>
    </row>
    <row r="18" ht="43" customHeight="1">
      <c r="A18" s="4" t="inlineStr">
        <is>
          <t>C13</t>
        </is>
      </c>
      <c r="B18" s="4" t="inlineStr">
        <is>
          <t>G. Silkscreen — Reference designators, polarity, pin 1, connector labels and warnings are readable.</t>
        </is>
      </c>
      <c r="C18" s="4" t="inlineStr">
        <is>
          <t>Unknown</t>
        </is>
      </c>
      <c r="D18" s="4" t="inlineStr">
        <is>
          <t>Medium</t>
        </is>
      </c>
      <c r="E18" s="4" t="inlineStr"/>
      <c r="F18" s="4" t="inlineStr"/>
    </row>
    <row r="19" ht="43" customHeight="1">
      <c r="A19" s="5" t="inlineStr">
        <is>
          <t>C14</t>
        </is>
      </c>
      <c r="B19" s="5" t="inlineStr">
        <is>
          <t>H. Final verification — KiCad DRC is run with the correct rules; every violation is fixed or documented with a justified waiver.</t>
        </is>
      </c>
      <c r="C19" s="5" t="inlineStr">
        <is>
          <t>Unknown</t>
        </is>
      </c>
      <c r="D19" s="5" t="inlineStr">
        <is>
          <t>Medium</t>
        </is>
      </c>
      <c r="E19" s="5" t="inlineStr"/>
      <c r="F19" s="5" t="inlineStr"/>
    </row>
    <row r="20" ht="43" customHeight="1">
      <c r="A20" s="4" t="inlineStr">
        <is>
          <t>C15</t>
        </is>
      </c>
      <c r="B20" s="4" t="inlineStr">
        <is>
          <t>H. Final verification — Gerbers/drill outputs are inspected; BOM, schematic, board and revision are consistent.</t>
        </is>
      </c>
      <c r="C20" s="4" t="inlineStr">
        <is>
          <t>Unknown</t>
        </is>
      </c>
      <c r="D20" s="4" t="inlineStr">
        <is>
          <t>Medium</t>
        </is>
      </c>
      <c r="E20" s="4" t="inlineStr"/>
      <c r="F20" s="4" t="inlineStr"/>
    </row>
    <row r="21" ht="43" customHeight="1">
      <c r="A21" s="5" t="inlineStr">
        <is>
          <t>C16</t>
        </is>
      </c>
      <c r="B21" s="5" t="inlineStr">
        <is>
          <t>H. Final verification — A human reviewer checks high-risk findings and signs off before fabrication/use.</t>
        </is>
      </c>
      <c r="C21" s="5" t="inlineStr">
        <is>
          <t>Unknown</t>
        </is>
      </c>
      <c r="D21" s="5" t="inlineStr">
        <is>
          <t>Medium</t>
        </is>
      </c>
      <c r="E21" s="5" t="inlineStr"/>
      <c r="F21" s="5" t="inlineStr"/>
    </row>
    <row r="22" ht="43" customHeight="1">
      <c r="A22" s="4" t="n"/>
      <c r="B22" s="4" t="n"/>
      <c r="C22" s="4" t="n"/>
      <c r="D22" s="4" t="n"/>
      <c r="E22" s="4" t="n"/>
      <c r="F22" s="4" t="n"/>
    </row>
    <row r="24">
      <c r="A24" s="6" t="inlineStr">
        <is>
          <t>Interpretation</t>
        </is>
      </c>
    </row>
    <row r="25" ht="35" customHeight="1">
      <c r="A25" s="7" t="inlineStr">
        <is>
          <t>Score = Pass / (Pass + Fail + Unknown). N/A is excluded. This is checklist completion only, not electrical safety or design quality.</t>
        </is>
      </c>
    </row>
    <row r="26" ht="35" customHeight="1">
      <c r="A26" s="7" t="inlineStr">
        <is>
          <t>Do not sign off if critical/high-risk items remain Fail or Unknown. Attach actual evidence and obtain human review.</t>
        </is>
      </c>
    </row>
  </sheetData>
  <autoFilter ref="A5:F22"/>
  <mergeCells count="3">
    <mergeCell ref="A26:F26"/>
    <mergeCell ref="A1:F1"/>
    <mergeCell ref="A25:F25"/>
  </mergeCells>
  <dataValidations count="2">
    <dataValidation sqref="C7:C22" showDropDown="0" showInputMessage="0" showErrorMessage="0" allowBlank="0" type="list">
      <formula1>"Pass,Fail,Unknown,N/A"</formula1>
    </dataValidation>
    <dataValidation sqref="D7:D22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3" customWidth="1" min="3" max="3"/>
    <col width="24" customWidth="1" min="4" max="4"/>
    <col width="30" customWidth="1" min="5" max="5"/>
    <col width="18" customWidth="1" min="6" max="6"/>
    <col width="45" customWidth="1" min="7" max="7"/>
  </cols>
  <sheetData>
    <row r="1">
      <c r="A1" s="8" t="inlineStr">
        <is>
          <t>Design</t>
        </is>
      </c>
      <c r="B1" s="8" t="inlineStr">
        <is>
          <t>Finding</t>
        </is>
      </c>
      <c r="C1" s="8" t="inlineStr">
        <is>
          <t>Priority</t>
        </is>
      </c>
      <c r="D1" s="8" t="inlineStr">
        <is>
          <t>Type</t>
        </is>
      </c>
      <c r="E1" s="8" t="inlineStr">
        <is>
          <t>Evidence / source</t>
        </is>
      </c>
      <c r="F1" s="8" t="inlineStr">
        <is>
          <t>Decision</t>
        </is>
      </c>
      <c r="G1" s="8" t="inlineStr">
        <is>
          <t>Reviewer notes</t>
        </is>
      </c>
    </row>
    <row r="2">
      <c r="A2" s="7" t="inlineStr">
        <is>
          <t>A - Regulator</t>
        </is>
      </c>
      <c r="B2" s="7" t="inlineStr">
        <is>
          <t>Capacitor placement / value</t>
        </is>
      </c>
      <c r="C2" s="7" t="inlineStr">
        <is>
          <t>High</t>
        </is>
      </c>
      <c r="D2" s="7" t="inlineStr">
        <is>
          <t>Needs evidence</t>
        </is>
      </c>
      <c r="E2" s="7" t="inlineStr"/>
      <c r="F2" s="7" t="inlineStr">
        <is>
          <t>Unknown</t>
        </is>
      </c>
      <c r="G2" s="7" t="inlineStr">
        <is>
          <t>Check exact datasheet and board placement</t>
        </is>
      </c>
    </row>
    <row r="3">
      <c r="A3" s="7" t="inlineStr">
        <is>
          <t>A - Regulator</t>
        </is>
      </c>
      <c r="B3" s="7" t="inlineStr">
        <is>
          <t>Power dissipation / thermal limits</t>
        </is>
      </c>
      <c r="C3" s="7" t="inlineStr">
        <is>
          <t>High</t>
        </is>
      </c>
      <c r="D3" s="7" t="inlineStr">
        <is>
          <t>Needs calculation</t>
        </is>
      </c>
      <c r="E3" s="7" t="inlineStr"/>
      <c r="F3" s="7" t="inlineStr">
        <is>
          <t>Unknown</t>
        </is>
      </c>
      <c r="G3" s="7" t="inlineStr">
        <is>
          <t>P ≈ (Vin−Vout)×Iout</t>
        </is>
      </c>
    </row>
    <row r="4">
      <c r="A4" s="7" t="inlineStr">
        <is>
          <t>B - LED</t>
        </is>
      </c>
      <c r="B4" s="7" t="inlineStr">
        <is>
          <t>Series resistor / polarity</t>
        </is>
      </c>
      <c r="C4" s="7" t="inlineStr">
        <is>
          <t>High</t>
        </is>
      </c>
      <c r="D4" s="7" t="inlineStr">
        <is>
          <t>Needs schematic/netlist</t>
        </is>
      </c>
      <c r="E4" s="7" t="inlineStr"/>
      <c r="F4" s="7" t="inlineStr">
        <is>
          <t>Unknown</t>
        </is>
      </c>
      <c r="G4" s="7" t="inlineStr">
        <is>
          <t>Check connectivity and LED footprint</t>
        </is>
      </c>
    </row>
    <row r="5">
      <c r="A5" s="7" t="inlineStr">
        <is>
          <t>C - 555</t>
        </is>
      </c>
      <c r="B5" s="7" t="inlineStr">
        <is>
          <t>Bypass capacitor / pin mapping</t>
        </is>
      </c>
      <c r="C5" s="7" t="inlineStr">
        <is>
          <t>Medium</t>
        </is>
      </c>
      <c r="D5" s="7" t="inlineStr">
        <is>
          <t>Needs datasheet</t>
        </is>
      </c>
      <c r="E5" s="7" t="inlineStr"/>
      <c r="F5" s="7" t="inlineStr">
        <is>
          <t>Unknown</t>
        </is>
      </c>
      <c r="G5" s="7" t="inlineStr">
        <is>
          <t>Exact 555 variant matters</t>
        </is>
      </c>
    </row>
    <row r="6">
      <c r="A6" s="7" t="inlineStr">
        <is>
          <t>All</t>
        </is>
      </c>
      <c r="B6" s="7" t="inlineStr">
        <is>
          <t>Ground plane must always be split</t>
        </is>
      </c>
      <c r="C6" s="7" t="inlineStr">
        <is>
          <t>Medium</t>
        </is>
      </c>
      <c r="D6" s="7" t="inlineStr">
        <is>
          <t>Possible false alarm</t>
        </is>
      </c>
      <c r="E6" s="7" t="inlineStr">
        <is>
          <t>Analog Devices [3]</t>
        </is>
      </c>
      <c r="F6" s="7" t="inlineStr">
        <is>
          <t>Reject universal claim</t>
        </is>
      </c>
      <c r="G6" s="7" t="inlineStr">
        <is>
          <t>Grounding is context-dependent</t>
        </is>
      </c>
    </row>
    <row r="7">
      <c r="A7" s="7" t="inlineStr">
        <is>
          <t>All</t>
        </is>
      </c>
      <c r="B7" s="7" t="inlineStr">
        <is>
          <t>Fixed trace width applies to every PCB</t>
        </is>
      </c>
      <c r="C7" s="7" t="inlineStr">
        <is>
          <t>High</t>
        </is>
      </c>
      <c r="D7" s="7" t="inlineStr">
        <is>
          <t>Invented rule</t>
        </is>
      </c>
      <c r="E7" s="7" t="inlineStr">
        <is>
          <t>Saturn PCB Toolkit [4]</t>
        </is>
      </c>
      <c r="F7" s="7" t="inlineStr">
        <is>
          <t>Reject</t>
        </is>
      </c>
      <c r="G7" s="7" t="inlineStr">
        <is>
          <t>Inputs and assumptions required</t>
        </is>
      </c>
    </row>
    <row r="8">
      <c r="A8" s="7" t="inlineStr">
        <is>
          <t>All</t>
        </is>
      </c>
      <c r="B8" s="7" t="inlineStr">
        <is>
          <t>DRC clean means production-ready</t>
        </is>
      </c>
      <c r="C8" s="7" t="inlineStr">
        <is>
          <t>High</t>
        </is>
      </c>
      <c r="D8" s="7" t="inlineStr">
        <is>
          <t>False confidence</t>
        </is>
      </c>
      <c r="E8" s="7" t="inlineStr">
        <is>
          <t>KiCad docs [5]</t>
        </is>
      </c>
      <c r="F8" s="7" t="inlineStr">
        <is>
          <t>Reject</t>
        </is>
      </c>
      <c r="G8" s="7" t="inlineStr">
        <is>
          <t>DRC covers configured rules only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2026-10-25T07:36:44Z</dcterms:created>
  <dcterms:modified xmlns:dcterms="http://purl.org/dc/terms/" xmlns:xsi="http://www.w3.org/2001/XMLSchema-instance" xsi:type="dcterms:W3CDTF">2026-10-25T07:36:44Z</dcterms:modified>
</cp:coreProperties>
</file>